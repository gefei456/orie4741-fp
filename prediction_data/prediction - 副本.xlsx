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ther_exp\Jupyter\orie4741-fp\prediction_data\"/>
    </mc:Choice>
  </mc:AlternateContent>
  <xr:revisionPtr revIDLastSave="0" documentId="13_ncr:1_{F40A4152-0A49-4C00-9236-B2DAED858358}" xr6:coauthVersionLast="47" xr6:coauthVersionMax="47" xr10:uidLastSave="{00000000-0000-0000-0000-000000000000}"/>
  <bookViews>
    <workbookView xWindow="34104" yWindow="2640" windowWidth="24780" windowHeight="10056" xr2:uid="{D69F7618-4FBC-4C41-A96F-79C5BA9FC3EA}"/>
  </bookViews>
  <sheets>
    <sheet name="prediction" sheetId="1" r:id="rId1"/>
  </sheets>
  <definedNames>
    <definedName name="_xlnm._FilterDatabase" localSheetId="0" hidden="1">prediction!$A$1:$AG$1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" l="1"/>
  <c r="R3" i="1"/>
  <c r="R4" i="1"/>
  <c r="R5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" i="1"/>
</calcChain>
</file>

<file path=xl/sharedStrings.xml><?xml version="1.0" encoding="utf-8"?>
<sst xmlns="http://schemas.openxmlformats.org/spreadsheetml/2006/main" count="132" uniqueCount="86">
  <si>
    <t>Div</t>
  </si>
  <si>
    <t>Date</t>
  </si>
  <si>
    <t>HomeTeam</t>
  </si>
  <si>
    <t>AwayTeam</t>
  </si>
  <si>
    <t>B365H</t>
  </si>
  <si>
    <t>B365D</t>
  </si>
  <si>
    <t>B365A</t>
  </si>
  <si>
    <t>AHh</t>
  </si>
  <si>
    <t>B365AHH</t>
  </si>
  <si>
    <t>B365AHA</t>
  </si>
  <si>
    <t>AHCh</t>
  </si>
  <si>
    <t>B365CAHH</t>
  </si>
  <si>
    <t>B365CAHA</t>
  </si>
  <si>
    <t>HomeTeamELO</t>
  </si>
  <si>
    <t>AwayTeamELO</t>
  </si>
  <si>
    <t>FTR</t>
  </si>
  <si>
    <t>balance_val</t>
  </si>
  <si>
    <t>easy_label</t>
  </si>
  <si>
    <t>predict1</t>
  </si>
  <si>
    <t>predict2</t>
  </si>
  <si>
    <t>predict3</t>
  </si>
  <si>
    <t>balance_val_model</t>
  </si>
  <si>
    <t>model_v4</t>
  </si>
  <si>
    <t>info</t>
  </si>
  <si>
    <t>FTR_real</t>
  </si>
  <si>
    <t>model_FTR</t>
  </si>
  <si>
    <t>info_FTR</t>
  </si>
  <si>
    <t>match_div_info</t>
  </si>
  <si>
    <t>[0]</t>
  </si>
  <si>
    <t>[2]</t>
  </si>
  <si>
    <t>SP1</t>
    <phoneticPr fontId="18" type="noConversion"/>
  </si>
  <si>
    <t>[1]</t>
  </si>
  <si>
    <t>draw 特殊处理2:</t>
  </si>
  <si>
    <t>P1</t>
    <phoneticPr fontId="18" type="noConversion"/>
  </si>
  <si>
    <t>F1</t>
    <phoneticPr fontId="18" type="noConversion"/>
  </si>
  <si>
    <t>E0</t>
    <phoneticPr fontId="18" type="noConversion"/>
  </si>
  <si>
    <t>[0, 2]</t>
  </si>
  <si>
    <t>draw 特殊处理1:</t>
  </si>
  <si>
    <t>巴列卡诺</t>
    <phoneticPr fontId="18" type="noConversion"/>
  </si>
  <si>
    <t>巴伦西亚</t>
    <phoneticPr fontId="18" type="noConversion"/>
  </si>
  <si>
    <t>莱切</t>
    <phoneticPr fontId="18" type="noConversion"/>
  </si>
  <si>
    <t>科莫</t>
    <phoneticPr fontId="18" type="noConversion"/>
  </si>
  <si>
    <t>美因茨</t>
    <phoneticPr fontId="18" type="noConversion"/>
  </si>
  <si>
    <t>沃夫斯堡</t>
    <phoneticPr fontId="18" type="noConversion"/>
  </si>
  <si>
    <t>弗赖堡</t>
    <phoneticPr fontId="18" type="noConversion"/>
  </si>
  <si>
    <t>霍芬海姆</t>
    <phoneticPr fontId="18" type="noConversion"/>
  </si>
  <si>
    <t>莱红牛</t>
    <phoneticPr fontId="18" type="noConversion"/>
  </si>
  <si>
    <t>基尔</t>
    <phoneticPr fontId="18" type="noConversion"/>
  </si>
  <si>
    <t>水晶宫</t>
    <phoneticPr fontId="18" type="noConversion"/>
  </si>
  <si>
    <t>伯恩茅斯</t>
    <phoneticPr fontId="18" type="noConversion"/>
  </si>
  <si>
    <t>西汉姆联</t>
    <phoneticPr fontId="18" type="noConversion"/>
  </si>
  <si>
    <t>南安普敦</t>
    <phoneticPr fontId="18" type="noConversion"/>
  </si>
  <si>
    <t>埃弗顿</t>
    <phoneticPr fontId="18" type="noConversion"/>
  </si>
  <si>
    <t>曼城</t>
    <phoneticPr fontId="18" type="noConversion"/>
  </si>
  <si>
    <t>布伦特</t>
    <phoneticPr fontId="18" type="noConversion"/>
  </si>
  <si>
    <t>布赖顿</t>
    <phoneticPr fontId="18" type="noConversion"/>
  </si>
  <si>
    <t>巴萨</t>
    <phoneticPr fontId="18" type="noConversion"/>
  </si>
  <si>
    <t>塞尔塔</t>
    <phoneticPr fontId="18" type="noConversion"/>
  </si>
  <si>
    <t>蒙扎</t>
    <phoneticPr fontId="18" type="noConversion"/>
  </si>
  <si>
    <t>那不勒斯</t>
    <phoneticPr fontId="18" type="noConversion"/>
  </si>
  <si>
    <t>维拉</t>
    <phoneticPr fontId="18" type="noConversion"/>
  </si>
  <si>
    <t>纽卡斯尔</t>
    <phoneticPr fontId="18" type="noConversion"/>
  </si>
  <si>
    <t>柏林联合</t>
    <phoneticPr fontId="18" type="noConversion"/>
  </si>
  <si>
    <t>斯图加特</t>
    <phoneticPr fontId="18" type="noConversion"/>
  </si>
  <si>
    <t>马洛卡</t>
    <phoneticPr fontId="18" type="noConversion"/>
  </si>
  <si>
    <t>莱加内斯</t>
    <phoneticPr fontId="18" type="noConversion"/>
  </si>
  <si>
    <t>摩纳哥</t>
    <phoneticPr fontId="18" type="noConversion"/>
  </si>
  <si>
    <t>斯特拉斯</t>
    <phoneticPr fontId="18" type="noConversion"/>
  </si>
  <si>
    <t>罗马</t>
    <phoneticPr fontId="18" type="noConversion"/>
  </si>
  <si>
    <t>维罗纳</t>
    <phoneticPr fontId="18" type="noConversion"/>
  </si>
  <si>
    <t>拉帕马斯</t>
    <phoneticPr fontId="18" type="noConversion"/>
  </si>
  <si>
    <t>马竞</t>
    <phoneticPr fontId="18" type="noConversion"/>
  </si>
  <si>
    <t>埃斯托里</t>
    <phoneticPr fontId="18" type="noConversion"/>
  </si>
  <si>
    <t>布拉加</t>
    <phoneticPr fontId="18" type="noConversion"/>
  </si>
  <si>
    <t>沙尔克04</t>
    <phoneticPr fontId="18" type="noConversion"/>
  </si>
  <si>
    <t>汉堡</t>
    <phoneticPr fontId="18" type="noConversion"/>
  </si>
  <si>
    <t>吉马良斯</t>
    <phoneticPr fontId="18" type="noConversion"/>
  </si>
  <si>
    <t>本菲卡</t>
    <phoneticPr fontId="18" type="noConversion"/>
  </si>
  <si>
    <t>I1</t>
    <phoneticPr fontId="18" type="noConversion"/>
  </si>
  <si>
    <t>D1</t>
    <phoneticPr fontId="18" type="noConversion"/>
  </si>
  <si>
    <t>海登海姆</t>
    <phoneticPr fontId="18" type="noConversion"/>
  </si>
  <si>
    <t>拜仁</t>
    <phoneticPr fontId="18" type="noConversion"/>
  </si>
  <si>
    <t xml:space="preserve">默认单一预测:  </t>
  </si>
  <si>
    <t xml:space="preserve">draw 特殊处理2: </t>
  </si>
  <si>
    <t xml:space="preserve">no orig 处理:  </t>
  </si>
  <si>
    <t xml:space="preserve">默认单一预测: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</si>
</sst>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0" fontId="0" fillId="0" borderId="10" xfId="0" applyFill="1" applyBorder="1">
      <alignment vertical="center"/>
    </xf>
    <xf numFmtId="0" fontId="0" fillId="33" borderId="10" xfId="0" applyFill="1" applyBorder="1">
      <alignment vertical="center"/>
    </xf>
    <xf numFmtId="14" fontId="0" fillId="33" borderId="10" xfId="0" applyNumberFormat="1" applyFill="1" applyBorder="1">
      <alignment vertical="center"/>
    </xf>
    <xf numFmtId="0" fontId="0" fillId="34" borderId="10" xfId="0" applyFill="1" applyBorder="1">
      <alignment vertical="center"/>
    </xf>
    <xf numFmtId="14" fontId="0" fillId="34" borderId="10" xfId="0" applyNumberFormat="1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E5C6-A498-4C52-B431-151567BC9F56}">
  <dimension ref="A1:AG22"/>
  <sheetViews>
    <sheetView tabSelected="1" topLeftCell="A16" zoomScale="115" zoomScaleNormal="115" workbookViewId="0">
      <selection activeCell="T26" sqref="T26"/>
    </sheetView>
  </sheetViews>
  <sheetFormatPr defaultRowHeight="13.8" x14ac:dyDescent="0.25"/>
  <cols>
    <col min="1" max="1" width="5" customWidth="1"/>
    <col min="2" max="2" width="9.21875" bestFit="1" customWidth="1"/>
    <col min="3" max="3" width="11" bestFit="1" customWidth="1"/>
    <col min="4" max="4" width="11.44140625" bestFit="1" customWidth="1"/>
    <col min="5" max="5" width="11.21875" bestFit="1" customWidth="1"/>
    <col min="12" max="17" width="0" hidden="1" customWidth="1"/>
    <col min="26" max="26" width="16.77734375" bestFit="1" customWidth="1"/>
  </cols>
  <sheetData>
    <row r="1" spans="1:3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18</v>
      </c>
      <c r="AC1" t="s">
        <v>19</v>
      </c>
      <c r="AD1" t="s">
        <v>20</v>
      </c>
      <c r="AE1" t="s">
        <v>25</v>
      </c>
      <c r="AF1" t="s">
        <v>26</v>
      </c>
      <c r="AG1" t="s">
        <v>27</v>
      </c>
    </row>
    <row r="2" spans="1:33" x14ac:dyDescent="0.25">
      <c r="A2" s="4">
        <v>0</v>
      </c>
      <c r="B2" s="4" t="s">
        <v>30</v>
      </c>
      <c r="C2" s="5">
        <v>45766</v>
      </c>
      <c r="D2" s="4" t="s">
        <v>38</v>
      </c>
      <c r="E2" s="4" t="s">
        <v>39</v>
      </c>
      <c r="F2" s="4">
        <v>2.35</v>
      </c>
      <c r="G2" s="4">
        <v>3.2</v>
      </c>
      <c r="H2" s="4">
        <v>3.25</v>
      </c>
      <c r="I2" s="4">
        <v>-0.25</v>
      </c>
      <c r="J2" s="4">
        <v>2.04</v>
      </c>
      <c r="K2" s="4">
        <v>1.86</v>
      </c>
      <c r="L2" s="4"/>
      <c r="M2" s="4"/>
      <c r="N2" s="4"/>
      <c r="O2" s="4"/>
      <c r="P2" s="4"/>
      <c r="Q2" s="4"/>
      <c r="R2" s="4">
        <f>J2+K2</f>
        <v>3.9000000000000004</v>
      </c>
      <c r="S2" s="4"/>
      <c r="T2" s="4"/>
      <c r="U2" s="4">
        <v>0.48920000000000002</v>
      </c>
      <c r="V2" s="4">
        <v>0.21199999999999999</v>
      </c>
      <c r="W2" s="4">
        <v>0.29880000000000001</v>
      </c>
      <c r="X2" s="4">
        <v>-1</v>
      </c>
      <c r="Y2" s="4" t="s">
        <v>28</v>
      </c>
      <c r="Z2" s="4" t="s">
        <v>82</v>
      </c>
      <c r="AA2" s="4"/>
      <c r="AB2" s="4"/>
      <c r="AC2" s="4"/>
      <c r="AD2" s="4"/>
      <c r="AE2" s="4"/>
      <c r="AF2" s="4"/>
      <c r="AG2" s="4"/>
    </row>
    <row r="3" spans="1:33" x14ac:dyDescent="0.25">
      <c r="A3" s="4">
        <v>1</v>
      </c>
      <c r="B3" s="4" t="s">
        <v>78</v>
      </c>
      <c r="C3" s="5">
        <v>45766</v>
      </c>
      <c r="D3" s="4" t="s">
        <v>40</v>
      </c>
      <c r="E3" s="4" t="s">
        <v>41</v>
      </c>
      <c r="F3" s="4">
        <v>3.4</v>
      </c>
      <c r="G3" s="4">
        <v>3.3</v>
      </c>
      <c r="H3" s="4">
        <v>2.2000000000000002</v>
      </c>
      <c r="I3" s="4">
        <v>0.25</v>
      </c>
      <c r="J3" s="4">
        <v>1.98</v>
      </c>
      <c r="K3" s="4">
        <v>1.95</v>
      </c>
      <c r="L3" s="4"/>
      <c r="M3" s="4"/>
      <c r="N3" s="4"/>
      <c r="O3" s="4"/>
      <c r="P3" s="4"/>
      <c r="Q3" s="4"/>
      <c r="R3" s="4">
        <f t="shared" ref="R3:R22" si="0">J3+K3</f>
        <v>3.9299999999999997</v>
      </c>
      <c r="S3" s="4"/>
      <c r="T3" s="4"/>
      <c r="U3" s="4">
        <v>0.15260000000000001</v>
      </c>
      <c r="V3" s="4">
        <v>0.28520000000000001</v>
      </c>
      <c r="W3" s="4">
        <v>0.56220000000000003</v>
      </c>
      <c r="X3" s="4">
        <v>1</v>
      </c>
      <c r="Y3" s="4" t="s">
        <v>29</v>
      </c>
      <c r="Z3" s="4" t="s">
        <v>82</v>
      </c>
      <c r="AA3" s="4"/>
      <c r="AB3" s="4"/>
      <c r="AC3" s="4"/>
      <c r="AD3" s="4"/>
      <c r="AE3" s="4"/>
      <c r="AF3" s="4"/>
      <c r="AG3" s="4"/>
    </row>
    <row r="4" spans="1:33" x14ac:dyDescent="0.25">
      <c r="A4" s="4">
        <v>2</v>
      </c>
      <c r="B4" s="4" t="s">
        <v>79</v>
      </c>
      <c r="C4" s="5">
        <v>45766</v>
      </c>
      <c r="D4" s="4" t="s">
        <v>42</v>
      </c>
      <c r="E4" s="4" t="s">
        <v>43</v>
      </c>
      <c r="F4" s="4">
        <v>2.0499999999999998</v>
      </c>
      <c r="G4" s="4">
        <v>3.6</v>
      </c>
      <c r="H4" s="4">
        <v>3.5</v>
      </c>
      <c r="I4" s="4">
        <v>-0.5</v>
      </c>
      <c r="J4" s="4">
        <v>2.0699999999999998</v>
      </c>
      <c r="K4" s="4">
        <v>1.86</v>
      </c>
      <c r="L4" s="4"/>
      <c r="M4" s="4"/>
      <c r="N4" s="4"/>
      <c r="O4" s="4"/>
      <c r="P4" s="4"/>
      <c r="Q4" s="4"/>
      <c r="R4" s="4">
        <f t="shared" si="0"/>
        <v>3.9299999999999997</v>
      </c>
      <c r="S4" s="4"/>
      <c r="T4" s="4"/>
      <c r="U4" s="4">
        <v>0.59909999999999997</v>
      </c>
      <c r="V4" s="4">
        <v>0.19539999999999999</v>
      </c>
      <c r="W4" s="4">
        <v>0.20549999999999999</v>
      </c>
      <c r="X4" s="4">
        <v>-1</v>
      </c>
      <c r="Y4" s="4" t="s">
        <v>28</v>
      </c>
      <c r="Z4" s="4" t="s">
        <v>82</v>
      </c>
      <c r="AA4" s="4"/>
      <c r="AB4" s="4"/>
      <c r="AC4" s="4"/>
      <c r="AD4" s="4"/>
      <c r="AE4" s="4"/>
      <c r="AF4" s="4"/>
      <c r="AG4" s="4"/>
    </row>
    <row r="5" spans="1:33" x14ac:dyDescent="0.25">
      <c r="A5" s="4">
        <v>3</v>
      </c>
      <c r="B5" s="4" t="s">
        <v>79</v>
      </c>
      <c r="C5" s="5">
        <v>45766</v>
      </c>
      <c r="D5" s="4" t="s">
        <v>44</v>
      </c>
      <c r="E5" s="4" t="s">
        <v>45</v>
      </c>
      <c r="F5" s="4">
        <v>1.9</v>
      </c>
      <c r="G5" s="4">
        <v>3.8</v>
      </c>
      <c r="H5" s="4">
        <v>3.8</v>
      </c>
      <c r="I5" s="4">
        <v>-0.5</v>
      </c>
      <c r="J5" s="4">
        <v>1.92</v>
      </c>
      <c r="K5" s="4">
        <v>2.0099999999999998</v>
      </c>
      <c r="L5" s="4"/>
      <c r="M5" s="4"/>
      <c r="N5" s="4"/>
      <c r="O5" s="4"/>
      <c r="P5" s="4"/>
      <c r="Q5" s="4"/>
      <c r="R5" s="4">
        <f t="shared" si="0"/>
        <v>3.9299999999999997</v>
      </c>
      <c r="S5" s="4"/>
      <c r="T5" s="4"/>
      <c r="U5" s="4">
        <v>0.43380000000000002</v>
      </c>
      <c r="V5" s="4">
        <v>0.24859999999999999</v>
      </c>
      <c r="W5" s="4">
        <v>0.3175</v>
      </c>
      <c r="X5" s="4">
        <v>-1</v>
      </c>
      <c r="Y5" s="4" t="s">
        <v>28</v>
      </c>
      <c r="Z5" s="4" t="s">
        <v>82</v>
      </c>
      <c r="AA5" s="4"/>
      <c r="AB5" s="4"/>
      <c r="AC5" s="4"/>
      <c r="AD5" s="4"/>
      <c r="AE5" s="4"/>
      <c r="AF5" s="4"/>
      <c r="AG5" s="4"/>
    </row>
    <row r="6" spans="1:33" x14ac:dyDescent="0.25">
      <c r="A6" s="4">
        <v>4</v>
      </c>
      <c r="B6" s="4" t="s">
        <v>79</v>
      </c>
      <c r="C6" s="5">
        <v>45766</v>
      </c>
      <c r="D6" s="4" t="s">
        <v>80</v>
      </c>
      <c r="E6" s="4" t="s">
        <v>81</v>
      </c>
      <c r="F6" s="4">
        <v>8</v>
      </c>
      <c r="G6" s="4">
        <v>6</v>
      </c>
      <c r="H6" s="4">
        <v>1.3</v>
      </c>
      <c r="I6" s="4">
        <v>1.75</v>
      </c>
      <c r="J6" s="4">
        <v>1.87</v>
      </c>
      <c r="K6" s="4">
        <v>2.06</v>
      </c>
      <c r="L6" s="4"/>
      <c r="M6" s="4"/>
      <c r="N6" s="4"/>
      <c r="O6" s="4"/>
      <c r="P6" s="4"/>
      <c r="Q6" s="4"/>
      <c r="R6" s="4">
        <f t="shared" si="0"/>
        <v>3.93</v>
      </c>
      <c r="S6" s="4"/>
      <c r="T6" s="4"/>
      <c r="U6" s="4">
        <v>0.18290000000000001</v>
      </c>
      <c r="V6" s="4">
        <v>0.24110000000000001</v>
      </c>
      <c r="W6" s="4">
        <v>0.57589999999999997</v>
      </c>
      <c r="X6" s="4">
        <v>2</v>
      </c>
      <c r="Y6" s="4" t="s">
        <v>29</v>
      </c>
      <c r="Z6" s="4" t="s">
        <v>82</v>
      </c>
      <c r="AA6" s="4"/>
      <c r="AB6" s="4"/>
      <c r="AC6" s="4"/>
      <c r="AD6" s="4"/>
      <c r="AE6" s="4"/>
      <c r="AF6" s="4"/>
      <c r="AG6" s="4"/>
    </row>
    <row r="7" spans="1:33" x14ac:dyDescent="0.25">
      <c r="A7" s="4">
        <v>5</v>
      </c>
      <c r="B7" s="4" t="s">
        <v>79</v>
      </c>
      <c r="C7" s="5">
        <v>45766</v>
      </c>
      <c r="D7" s="4" t="s">
        <v>46</v>
      </c>
      <c r="E7" s="4" t="s">
        <v>47</v>
      </c>
      <c r="F7" s="4">
        <v>1.4</v>
      </c>
      <c r="G7" s="4">
        <v>5</v>
      </c>
      <c r="H7" s="4">
        <v>7</v>
      </c>
      <c r="I7" s="4">
        <v>-1.5</v>
      </c>
      <c r="J7" s="4">
        <v>2.0699999999999998</v>
      </c>
      <c r="K7" s="4">
        <v>1.86</v>
      </c>
      <c r="L7" s="4"/>
      <c r="M7" s="4"/>
      <c r="N7" s="4"/>
      <c r="O7" s="4"/>
      <c r="P7" s="4"/>
      <c r="Q7" s="4"/>
      <c r="R7" s="4">
        <f t="shared" si="0"/>
        <v>3.9299999999999997</v>
      </c>
      <c r="S7" s="4"/>
      <c r="T7" s="4"/>
      <c r="U7" s="4">
        <v>0.59219999999999995</v>
      </c>
      <c r="V7" s="4">
        <v>0.2258</v>
      </c>
      <c r="W7" s="4">
        <v>0.182</v>
      </c>
      <c r="X7" s="4">
        <v>-2</v>
      </c>
      <c r="Y7" s="4" t="s">
        <v>28</v>
      </c>
      <c r="Z7" s="4" t="s">
        <v>82</v>
      </c>
      <c r="AA7" s="4"/>
      <c r="AB7" s="4"/>
      <c r="AC7" s="4"/>
      <c r="AD7" s="4"/>
      <c r="AE7" s="4"/>
      <c r="AF7" s="4"/>
      <c r="AG7" s="4"/>
    </row>
    <row r="8" spans="1:33" x14ac:dyDescent="0.25">
      <c r="A8" s="4">
        <v>6</v>
      </c>
      <c r="B8" s="4" t="s">
        <v>35</v>
      </c>
      <c r="C8" s="5">
        <v>45766</v>
      </c>
      <c r="D8" s="4" t="s">
        <v>48</v>
      </c>
      <c r="E8" s="4" t="s">
        <v>49</v>
      </c>
      <c r="F8" s="4">
        <v>2.5</v>
      </c>
      <c r="G8" s="4">
        <v>3.6</v>
      </c>
      <c r="H8" s="4">
        <v>2.63</v>
      </c>
      <c r="I8" s="4">
        <v>0</v>
      </c>
      <c r="J8" s="4">
        <v>1.91</v>
      </c>
      <c r="K8" s="4">
        <v>2.02</v>
      </c>
      <c r="L8" s="4"/>
      <c r="M8" s="4"/>
      <c r="N8" s="4"/>
      <c r="O8" s="4"/>
      <c r="P8" s="4"/>
      <c r="Q8" s="4"/>
      <c r="R8" s="4">
        <f t="shared" si="0"/>
        <v>3.9299999999999997</v>
      </c>
      <c r="S8" s="4"/>
      <c r="T8" s="4"/>
      <c r="U8" s="4">
        <v>0.29699999999999999</v>
      </c>
      <c r="V8" s="4">
        <v>0.253</v>
      </c>
      <c r="W8" s="4">
        <v>0.45</v>
      </c>
      <c r="X8" s="4">
        <v>0</v>
      </c>
      <c r="Y8" s="4" t="s">
        <v>29</v>
      </c>
      <c r="Z8" s="4" t="s">
        <v>82</v>
      </c>
      <c r="AA8" s="4"/>
      <c r="AB8" s="4"/>
      <c r="AC8" s="4"/>
      <c r="AD8" s="4"/>
      <c r="AE8" s="4"/>
      <c r="AF8" s="4"/>
      <c r="AG8" s="4"/>
    </row>
    <row r="9" spans="1:33" x14ac:dyDescent="0.25">
      <c r="A9" s="4">
        <v>7</v>
      </c>
      <c r="B9" s="4" t="s">
        <v>35</v>
      </c>
      <c r="C9" s="5">
        <v>45766</v>
      </c>
      <c r="D9" s="4" t="s">
        <v>50</v>
      </c>
      <c r="E9" s="4" t="s">
        <v>51</v>
      </c>
      <c r="F9" s="4">
        <v>1.55</v>
      </c>
      <c r="G9" s="4">
        <v>4.33</v>
      </c>
      <c r="H9" s="4">
        <v>5.5</v>
      </c>
      <c r="I9" s="4">
        <v>-1</v>
      </c>
      <c r="J9" s="4">
        <v>1.93</v>
      </c>
      <c r="K9" s="4">
        <v>2</v>
      </c>
      <c r="L9" s="4"/>
      <c r="M9" s="4"/>
      <c r="N9" s="4"/>
      <c r="O9" s="4"/>
      <c r="P9" s="4"/>
      <c r="Q9" s="4"/>
      <c r="R9" s="4">
        <f t="shared" si="0"/>
        <v>3.9299999999999997</v>
      </c>
      <c r="S9" s="4"/>
      <c r="T9" s="4"/>
      <c r="U9" s="4">
        <v>0.35439999999999999</v>
      </c>
      <c r="V9" s="4">
        <v>0.2492</v>
      </c>
      <c r="W9" s="4">
        <v>0.39629999999999999</v>
      </c>
      <c r="X9" s="4">
        <v>-1</v>
      </c>
      <c r="Y9" s="4" t="s">
        <v>31</v>
      </c>
      <c r="Z9" s="4" t="s">
        <v>32</v>
      </c>
      <c r="AA9" s="4"/>
      <c r="AB9" s="4"/>
      <c r="AC9" s="4"/>
      <c r="AD9" s="4"/>
      <c r="AE9" s="4"/>
      <c r="AF9" s="4"/>
      <c r="AG9" s="4"/>
    </row>
    <row r="10" spans="1:33" x14ac:dyDescent="0.25">
      <c r="A10" s="4">
        <v>8</v>
      </c>
      <c r="B10" s="4" t="s">
        <v>35</v>
      </c>
      <c r="C10" s="5">
        <v>45766</v>
      </c>
      <c r="D10" s="4" t="s">
        <v>52</v>
      </c>
      <c r="E10" s="4" t="s">
        <v>53</v>
      </c>
      <c r="F10" s="4">
        <v>4.0999999999999996</v>
      </c>
      <c r="G10" s="4">
        <v>3.6</v>
      </c>
      <c r="H10" s="4">
        <v>1.9</v>
      </c>
      <c r="I10" s="4">
        <v>0.5</v>
      </c>
      <c r="J10" s="4">
        <v>2</v>
      </c>
      <c r="K10" s="4">
        <v>1.93</v>
      </c>
      <c r="L10" s="4"/>
      <c r="M10" s="4"/>
      <c r="N10" s="4"/>
      <c r="O10" s="4"/>
      <c r="P10" s="4"/>
      <c r="Q10" s="4"/>
      <c r="R10" s="4">
        <f t="shared" si="0"/>
        <v>3.9299999999999997</v>
      </c>
      <c r="S10" s="4"/>
      <c r="T10" s="4"/>
      <c r="U10" s="4">
        <v>0.36459999999999998</v>
      </c>
      <c r="V10" s="4">
        <v>0.2094</v>
      </c>
      <c r="W10" s="4">
        <v>0.42599999999999999</v>
      </c>
      <c r="X10" s="4">
        <v>1</v>
      </c>
      <c r="Y10" s="4" t="s">
        <v>29</v>
      </c>
      <c r="Z10" s="4" t="s">
        <v>82</v>
      </c>
      <c r="AA10" s="4"/>
      <c r="AB10" s="4"/>
      <c r="AC10" s="4"/>
      <c r="AD10" s="4"/>
      <c r="AE10" s="4"/>
      <c r="AF10" s="4"/>
      <c r="AG10" s="4"/>
    </row>
    <row r="11" spans="1:33" x14ac:dyDescent="0.25">
      <c r="A11" s="4">
        <v>9</v>
      </c>
      <c r="B11" s="4" t="s">
        <v>35</v>
      </c>
      <c r="C11" s="5">
        <v>45766</v>
      </c>
      <c r="D11" s="4" t="s">
        <v>54</v>
      </c>
      <c r="E11" s="4" t="s">
        <v>55</v>
      </c>
      <c r="F11" s="4">
        <v>2.5</v>
      </c>
      <c r="G11" s="4">
        <v>3.6</v>
      </c>
      <c r="H11" s="4">
        <v>2.63</v>
      </c>
      <c r="I11" s="4">
        <v>0</v>
      </c>
      <c r="J11" s="4">
        <v>1.89</v>
      </c>
      <c r="K11" s="4">
        <v>2.04</v>
      </c>
      <c r="L11" s="4"/>
      <c r="M11" s="4"/>
      <c r="N11" s="4"/>
      <c r="O11" s="4"/>
      <c r="P11" s="4"/>
      <c r="Q11" s="4"/>
      <c r="R11" s="4">
        <f t="shared" si="0"/>
        <v>3.9299999999999997</v>
      </c>
      <c r="S11" s="4"/>
      <c r="T11" s="4"/>
      <c r="U11" s="4">
        <v>0.31790000000000002</v>
      </c>
      <c r="V11" s="4">
        <v>0.24</v>
      </c>
      <c r="W11" s="4">
        <v>0.44219999999999998</v>
      </c>
      <c r="X11" s="4">
        <v>0</v>
      </c>
      <c r="Y11" s="4" t="s">
        <v>29</v>
      </c>
      <c r="Z11" s="4" t="s">
        <v>82</v>
      </c>
      <c r="AA11" s="4"/>
      <c r="AB11" s="4"/>
      <c r="AC11" s="4"/>
      <c r="AD11" s="4"/>
      <c r="AE11" s="4"/>
      <c r="AF11" s="4"/>
      <c r="AG11" s="4"/>
    </row>
    <row r="12" spans="1:33" x14ac:dyDescent="0.25">
      <c r="A12" s="4">
        <v>10</v>
      </c>
      <c r="B12" s="4" t="s">
        <v>30</v>
      </c>
      <c r="C12" s="5">
        <v>45766</v>
      </c>
      <c r="D12" s="4" t="s">
        <v>56</v>
      </c>
      <c r="E12" s="4" t="s">
        <v>57</v>
      </c>
      <c r="F12" s="4">
        <v>1.27</v>
      </c>
      <c r="G12" s="4">
        <v>6.5</v>
      </c>
      <c r="H12" s="4">
        <v>8.5</v>
      </c>
      <c r="I12" s="4">
        <v>-1.75</v>
      </c>
      <c r="J12" s="4">
        <v>1.88</v>
      </c>
      <c r="K12" s="4">
        <v>2.02</v>
      </c>
      <c r="L12" s="4"/>
      <c r="M12" s="4"/>
      <c r="N12" s="4"/>
      <c r="O12" s="4"/>
      <c r="P12" s="4"/>
      <c r="Q12" s="4"/>
      <c r="R12" s="4">
        <f t="shared" si="0"/>
        <v>3.9</v>
      </c>
      <c r="S12" s="4"/>
      <c r="T12" s="4"/>
      <c r="U12" s="4">
        <v>0.49719999999999998</v>
      </c>
      <c r="V12" s="4">
        <v>0.2117</v>
      </c>
      <c r="W12" s="4">
        <v>0.29110000000000003</v>
      </c>
      <c r="X12" s="4">
        <v>-2</v>
      </c>
      <c r="Y12" s="4" t="s">
        <v>28</v>
      </c>
      <c r="Z12" s="4" t="s">
        <v>82</v>
      </c>
      <c r="AA12" s="4"/>
      <c r="AB12" s="4"/>
      <c r="AC12" s="4"/>
      <c r="AD12" s="4"/>
      <c r="AE12" s="4"/>
      <c r="AF12" s="4"/>
      <c r="AG12" s="4"/>
    </row>
    <row r="13" spans="1:33" x14ac:dyDescent="0.25">
      <c r="A13" s="6">
        <v>11</v>
      </c>
      <c r="B13" s="6" t="s">
        <v>78</v>
      </c>
      <c r="C13" s="7">
        <v>45766</v>
      </c>
      <c r="D13" s="6" t="s">
        <v>58</v>
      </c>
      <c r="E13" s="6" t="s">
        <v>59</v>
      </c>
      <c r="F13" s="6">
        <v>11</v>
      </c>
      <c r="G13" s="6">
        <v>5</v>
      </c>
      <c r="H13" s="6">
        <v>1.3</v>
      </c>
      <c r="I13" s="6">
        <v>1.5</v>
      </c>
      <c r="J13" s="6">
        <v>1.98</v>
      </c>
      <c r="K13" s="6">
        <v>1.95</v>
      </c>
      <c r="L13" s="6"/>
      <c r="M13" s="6"/>
      <c r="N13" s="6"/>
      <c r="O13" s="6"/>
      <c r="P13" s="6"/>
      <c r="Q13" s="6"/>
      <c r="R13" s="6">
        <f t="shared" si="0"/>
        <v>3.9299999999999997</v>
      </c>
      <c r="S13" s="6"/>
      <c r="T13" s="6"/>
      <c r="U13" s="6">
        <v>0.37859999999999999</v>
      </c>
      <c r="V13" s="6">
        <v>0.25740000000000002</v>
      </c>
      <c r="W13" s="6">
        <v>0.36409999999999998</v>
      </c>
      <c r="X13" s="6">
        <v>2</v>
      </c>
      <c r="Y13" s="6" t="s">
        <v>31</v>
      </c>
      <c r="Z13" s="6" t="s">
        <v>83</v>
      </c>
      <c r="AA13" s="6"/>
      <c r="AB13" s="6"/>
      <c r="AC13" s="6"/>
      <c r="AD13" s="6"/>
      <c r="AE13" s="6"/>
      <c r="AF13" s="6"/>
      <c r="AG13" s="6"/>
    </row>
    <row r="14" spans="1:33" x14ac:dyDescent="0.25">
      <c r="A14" s="6">
        <v>12</v>
      </c>
      <c r="B14" s="6" t="s">
        <v>35</v>
      </c>
      <c r="C14" s="7">
        <v>45766</v>
      </c>
      <c r="D14" s="6" t="s">
        <v>60</v>
      </c>
      <c r="E14" s="6" t="s">
        <v>61</v>
      </c>
      <c r="F14" s="6">
        <v>2.5499999999999998</v>
      </c>
      <c r="G14" s="6">
        <v>3.6</v>
      </c>
      <c r="H14" s="6">
        <v>2.6</v>
      </c>
      <c r="I14" s="6">
        <v>0</v>
      </c>
      <c r="J14" s="6">
        <v>1.95</v>
      </c>
      <c r="K14" s="6">
        <v>1.98</v>
      </c>
      <c r="L14" s="6"/>
      <c r="M14" s="6"/>
      <c r="N14" s="6"/>
      <c r="O14" s="6"/>
      <c r="P14" s="6"/>
      <c r="Q14" s="6"/>
      <c r="R14" s="6">
        <f t="shared" si="0"/>
        <v>3.9299999999999997</v>
      </c>
      <c r="S14" s="6"/>
      <c r="T14" s="6"/>
      <c r="U14" s="6">
        <v>0.42699999999999999</v>
      </c>
      <c r="V14" s="6">
        <v>0.17419999999999999</v>
      </c>
      <c r="W14" s="6">
        <v>0.39879999999999999</v>
      </c>
      <c r="X14" s="6">
        <v>0</v>
      </c>
      <c r="Y14" s="6" t="s">
        <v>36</v>
      </c>
      <c r="Z14" s="6" t="s">
        <v>84</v>
      </c>
      <c r="AA14" s="6"/>
      <c r="AB14" s="6"/>
      <c r="AC14" s="6"/>
      <c r="AD14" s="6"/>
      <c r="AE14" s="6"/>
      <c r="AF14" s="6"/>
      <c r="AG14" s="6"/>
    </row>
    <row r="15" spans="1:33" x14ac:dyDescent="0.25">
      <c r="A15" s="6">
        <v>13</v>
      </c>
      <c r="B15" s="6" t="s">
        <v>79</v>
      </c>
      <c r="C15" s="7">
        <v>45766</v>
      </c>
      <c r="D15" s="6" t="s">
        <v>62</v>
      </c>
      <c r="E15" s="6" t="s">
        <v>63</v>
      </c>
      <c r="F15" s="6">
        <v>2.88</v>
      </c>
      <c r="G15" s="6">
        <v>3.4</v>
      </c>
      <c r="H15" s="6">
        <v>2.35</v>
      </c>
      <c r="I15" s="6">
        <v>0.25</v>
      </c>
      <c r="J15" s="6">
        <v>1.82</v>
      </c>
      <c r="K15" s="6">
        <v>2.11</v>
      </c>
      <c r="L15" s="6"/>
      <c r="M15" s="6"/>
      <c r="N15" s="6"/>
      <c r="O15" s="6"/>
      <c r="P15" s="6"/>
      <c r="Q15" s="6"/>
      <c r="R15" s="6">
        <f t="shared" si="0"/>
        <v>3.9299999999999997</v>
      </c>
      <c r="S15" s="6"/>
      <c r="T15" s="6"/>
      <c r="U15" s="6">
        <v>0.1105</v>
      </c>
      <c r="V15" s="6">
        <v>0.24579999999999999</v>
      </c>
      <c r="W15" s="6">
        <v>0.64380000000000004</v>
      </c>
      <c r="X15" s="6">
        <v>1</v>
      </c>
      <c r="Y15" s="6" t="s">
        <v>29</v>
      </c>
      <c r="Z15" s="6" t="s">
        <v>82</v>
      </c>
      <c r="AA15" s="6"/>
      <c r="AB15" s="6"/>
      <c r="AC15" s="6"/>
      <c r="AD15" s="6"/>
      <c r="AE15" s="6"/>
      <c r="AF15" s="6"/>
      <c r="AG15" s="6"/>
    </row>
    <row r="16" spans="1:33" x14ac:dyDescent="0.25">
      <c r="A16" s="6">
        <v>14</v>
      </c>
      <c r="B16" s="6" t="s">
        <v>30</v>
      </c>
      <c r="C16" s="7">
        <v>45766</v>
      </c>
      <c r="D16" s="6" t="s">
        <v>64</v>
      </c>
      <c r="E16" s="6" t="s">
        <v>65</v>
      </c>
      <c r="F16" s="6">
        <v>1.83</v>
      </c>
      <c r="G16" s="6">
        <v>3.1</v>
      </c>
      <c r="H16" s="6">
        <v>5.25</v>
      </c>
      <c r="I16" s="6">
        <v>-0.5</v>
      </c>
      <c r="J16" s="6">
        <v>1.84</v>
      </c>
      <c r="K16" s="6">
        <v>2.06</v>
      </c>
      <c r="L16" s="6"/>
      <c r="M16" s="6"/>
      <c r="N16" s="6"/>
      <c r="O16" s="6"/>
      <c r="P16" s="6"/>
      <c r="Q16" s="6"/>
      <c r="R16" s="6">
        <f t="shared" si="0"/>
        <v>3.9000000000000004</v>
      </c>
      <c r="S16" s="6"/>
      <c r="T16" s="6"/>
      <c r="U16" s="6">
        <v>0.51039999999999996</v>
      </c>
      <c r="V16" s="6">
        <v>0.27629999999999999</v>
      </c>
      <c r="W16" s="6">
        <v>0.21329999999999999</v>
      </c>
      <c r="X16" s="6">
        <v>-1</v>
      </c>
      <c r="Y16" s="6" t="s">
        <v>28</v>
      </c>
      <c r="Z16" s="6" t="s">
        <v>82</v>
      </c>
      <c r="AA16" s="6"/>
      <c r="AB16" s="6"/>
      <c r="AC16" s="6"/>
      <c r="AD16" s="6"/>
      <c r="AE16" s="6"/>
      <c r="AF16" s="6"/>
      <c r="AG16" s="6"/>
    </row>
    <row r="17" spans="1:33" x14ac:dyDescent="0.25">
      <c r="A17" s="6">
        <v>15</v>
      </c>
      <c r="B17" s="6" t="s">
        <v>34</v>
      </c>
      <c r="C17" s="7">
        <v>45766</v>
      </c>
      <c r="D17" s="6" t="s">
        <v>66</v>
      </c>
      <c r="E17" s="6" t="s">
        <v>67</v>
      </c>
      <c r="F17" s="6">
        <v>1.53</v>
      </c>
      <c r="G17" s="6">
        <v>4.75</v>
      </c>
      <c r="H17" s="6">
        <v>5</v>
      </c>
      <c r="I17" s="6">
        <v>-1</v>
      </c>
      <c r="J17" s="6">
        <v>1.89</v>
      </c>
      <c r="K17" s="6">
        <v>2.04</v>
      </c>
      <c r="L17" s="6"/>
      <c r="M17" s="6"/>
      <c r="N17" s="6"/>
      <c r="O17" s="6"/>
      <c r="P17" s="6"/>
      <c r="Q17" s="6"/>
      <c r="R17" s="6">
        <f t="shared" si="0"/>
        <v>3.9299999999999997</v>
      </c>
      <c r="S17" s="6"/>
      <c r="T17" s="6"/>
      <c r="U17" s="6">
        <v>0.3039</v>
      </c>
      <c r="V17" s="6">
        <v>0.23050000000000001</v>
      </c>
      <c r="W17" s="6">
        <v>0.4657</v>
      </c>
      <c r="X17" s="6">
        <v>-1</v>
      </c>
      <c r="Y17" s="6" t="s">
        <v>29</v>
      </c>
      <c r="Z17" s="6" t="s">
        <v>82</v>
      </c>
      <c r="AA17" s="6"/>
      <c r="AB17" s="6"/>
      <c r="AC17" s="6"/>
      <c r="AD17" s="6"/>
      <c r="AE17" s="6"/>
      <c r="AF17" s="6"/>
      <c r="AG17" s="6"/>
    </row>
    <row r="18" spans="1:33" x14ac:dyDescent="0.25">
      <c r="A18" s="3">
        <v>16</v>
      </c>
      <c r="B18" s="3" t="s">
        <v>78</v>
      </c>
      <c r="C18" s="2">
        <v>45766</v>
      </c>
      <c r="D18" s="3" t="s">
        <v>68</v>
      </c>
      <c r="E18" s="3" t="s">
        <v>69</v>
      </c>
      <c r="F18" s="1">
        <v>1.45</v>
      </c>
      <c r="G18" s="1">
        <v>4.33</v>
      </c>
      <c r="H18" s="1">
        <v>7</v>
      </c>
      <c r="I18" s="1">
        <v>-1</v>
      </c>
      <c r="J18" s="1">
        <v>1.85</v>
      </c>
      <c r="K18" s="1">
        <v>2.08</v>
      </c>
      <c r="L18" s="1"/>
      <c r="M18" s="1"/>
      <c r="N18" s="1"/>
      <c r="O18" s="1"/>
      <c r="P18" s="1"/>
      <c r="Q18" s="1"/>
      <c r="R18" s="1">
        <f t="shared" si="0"/>
        <v>3.93</v>
      </c>
      <c r="S18" s="1"/>
      <c r="T18" s="1"/>
      <c r="U18" s="1">
        <v>0.29099999999999998</v>
      </c>
      <c r="V18" s="1">
        <v>0.371</v>
      </c>
      <c r="W18" s="1">
        <v>0.33800000000000002</v>
      </c>
      <c r="X18" s="1">
        <v>-1</v>
      </c>
      <c r="Y18" s="1" t="s">
        <v>31</v>
      </c>
      <c r="Z18" s="1" t="s">
        <v>37</v>
      </c>
      <c r="AA18" s="1"/>
      <c r="AB18" s="1"/>
      <c r="AC18" s="1"/>
      <c r="AD18" s="1"/>
      <c r="AE18" s="1"/>
      <c r="AF18" s="1"/>
      <c r="AG18" s="1"/>
    </row>
    <row r="19" spans="1:33" x14ac:dyDescent="0.25">
      <c r="A19" s="3">
        <v>17</v>
      </c>
      <c r="B19" s="3" t="s">
        <v>30</v>
      </c>
      <c r="C19" s="2">
        <v>45766</v>
      </c>
      <c r="D19" s="3" t="s">
        <v>70</v>
      </c>
      <c r="E19" s="3" t="s">
        <v>71</v>
      </c>
      <c r="F19" s="1">
        <v>5.25</v>
      </c>
      <c r="G19" s="1">
        <v>4</v>
      </c>
      <c r="H19" s="1">
        <v>1.62</v>
      </c>
      <c r="I19" s="1">
        <v>0.75</v>
      </c>
      <c r="J19" s="1">
        <v>2.0699999999999998</v>
      </c>
      <c r="K19" s="1">
        <v>1.83</v>
      </c>
      <c r="L19" s="1"/>
      <c r="M19" s="1"/>
      <c r="N19" s="1"/>
      <c r="O19" s="1"/>
      <c r="P19" s="1"/>
      <c r="Q19" s="1"/>
      <c r="R19" s="1">
        <f t="shared" si="0"/>
        <v>3.9</v>
      </c>
      <c r="S19" s="1"/>
      <c r="T19" s="1"/>
      <c r="U19" s="1">
        <v>0.2792</v>
      </c>
      <c r="V19" s="1">
        <v>0.32340000000000002</v>
      </c>
      <c r="W19" s="1">
        <v>0.39739999999999998</v>
      </c>
      <c r="X19" s="1">
        <v>1</v>
      </c>
      <c r="Y19" s="1" t="s">
        <v>29</v>
      </c>
      <c r="Z19" s="1" t="s">
        <v>82</v>
      </c>
      <c r="AA19" s="1"/>
      <c r="AB19" s="1"/>
      <c r="AC19" s="1"/>
      <c r="AD19" s="1"/>
      <c r="AE19" s="1"/>
      <c r="AF19" s="1"/>
      <c r="AG19" s="1"/>
    </row>
    <row r="20" spans="1:33" x14ac:dyDescent="0.25">
      <c r="A20" s="3">
        <v>18</v>
      </c>
      <c r="B20" s="3" t="s">
        <v>33</v>
      </c>
      <c r="C20" s="2">
        <v>45766</v>
      </c>
      <c r="D20" s="3" t="s">
        <v>72</v>
      </c>
      <c r="E20" s="3" t="s">
        <v>73</v>
      </c>
      <c r="F20" s="1">
        <v>4.75</v>
      </c>
      <c r="G20" s="1">
        <v>3.7</v>
      </c>
      <c r="H20" s="1">
        <v>1.7</v>
      </c>
      <c r="I20" s="1">
        <v>0.75</v>
      </c>
      <c r="J20" s="1">
        <v>1.89</v>
      </c>
      <c r="K20" s="1">
        <v>2.0099999999999998</v>
      </c>
      <c r="L20" s="1"/>
      <c r="M20" s="1"/>
      <c r="N20" s="1"/>
      <c r="O20" s="1"/>
      <c r="P20" s="1"/>
      <c r="Q20" s="1"/>
      <c r="R20" s="1">
        <f t="shared" si="0"/>
        <v>3.8999999999999995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5">
      <c r="A21" s="3">
        <v>19</v>
      </c>
      <c r="B21" s="3" t="s">
        <v>79</v>
      </c>
      <c r="C21" s="2">
        <v>45766</v>
      </c>
      <c r="D21" s="3" t="s">
        <v>74</v>
      </c>
      <c r="E21" s="3" t="s">
        <v>75</v>
      </c>
      <c r="F21" s="1">
        <v>2.88</v>
      </c>
      <c r="G21" s="1">
        <v>3.7</v>
      </c>
      <c r="H21" s="1">
        <v>2.25</v>
      </c>
      <c r="I21" s="1">
        <v>0.25</v>
      </c>
      <c r="J21" s="1">
        <v>1.88</v>
      </c>
      <c r="K21" s="1">
        <v>1.98</v>
      </c>
      <c r="L21" s="1"/>
      <c r="M21" s="1"/>
      <c r="N21" s="1"/>
      <c r="O21" s="1"/>
      <c r="P21" s="1"/>
      <c r="Q21" s="1"/>
      <c r="R21" s="1">
        <f t="shared" si="0"/>
        <v>3.86</v>
      </c>
      <c r="S21" s="1"/>
      <c r="T21" s="1"/>
      <c r="U21" s="1">
        <v>0.36149999999999999</v>
      </c>
      <c r="V21" s="1">
        <v>0.2034</v>
      </c>
      <c r="W21" s="1">
        <v>0.43509999999999999</v>
      </c>
      <c r="X21" s="1">
        <v>1</v>
      </c>
      <c r="Y21" s="1" t="s">
        <v>29</v>
      </c>
      <c r="Z21" s="1" t="s">
        <v>85</v>
      </c>
      <c r="AA21" s="1"/>
      <c r="AB21" s="1"/>
      <c r="AC21" s="1"/>
      <c r="AD21" s="1"/>
      <c r="AE21" s="1"/>
      <c r="AF21" s="1"/>
      <c r="AG21" s="1"/>
    </row>
    <row r="22" spans="1:33" x14ac:dyDescent="0.25">
      <c r="A22" s="3">
        <v>20</v>
      </c>
      <c r="B22" s="3" t="s">
        <v>33</v>
      </c>
      <c r="C22" s="2">
        <v>45766</v>
      </c>
      <c r="D22" s="3" t="s">
        <v>76</v>
      </c>
      <c r="E22" s="3" t="s">
        <v>77</v>
      </c>
      <c r="F22" s="1">
        <v>5.25</v>
      </c>
      <c r="G22" s="1">
        <v>4.0999999999999996</v>
      </c>
      <c r="H22" s="1">
        <v>1.57</v>
      </c>
      <c r="I22" s="1">
        <v>1</v>
      </c>
      <c r="J22" s="1">
        <v>1.83</v>
      </c>
      <c r="K22" s="1">
        <v>2.0699999999999998</v>
      </c>
      <c r="L22" s="1"/>
      <c r="M22" s="1"/>
      <c r="N22" s="1"/>
      <c r="O22" s="1"/>
      <c r="P22" s="1"/>
      <c r="Q22" s="1"/>
      <c r="R22" s="1">
        <f t="shared" si="0"/>
        <v>3.9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</sheetData>
  <autoFilter ref="A1:AG1" xr:uid="{73E3E5C6-A498-4C52-B431-151567BC9F56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吴斐</dc:creator>
  <cp:lastModifiedBy>斐 吴</cp:lastModifiedBy>
  <dcterms:created xsi:type="dcterms:W3CDTF">2025-03-29T05:45:53Z</dcterms:created>
  <dcterms:modified xsi:type="dcterms:W3CDTF">2025-04-20T11:59:09Z</dcterms:modified>
</cp:coreProperties>
</file>